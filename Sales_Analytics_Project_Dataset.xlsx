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ks332\Downloads\"/>
    </mc:Choice>
  </mc:AlternateContent>
  <bookViews>
    <workbookView xWindow="0" yWindow="0" windowWidth="0" windowHeight="0" activeTab="2"/>
  </bookViews>
  <sheets>
    <sheet name="Sales_Data" sheetId="1" r:id="rId1"/>
    <sheet name="Day_1_Tasks" sheetId="2" r:id="rId2"/>
    <sheet name="DASHBOARD" sheetId="3" r:id="rId3"/>
  </sheets>
  <calcPr/>
</workbook>
</file>

<file path=xl/calcChain.xml><?xml version="1.0" encoding="utf-8"?>
<calcChain xmlns="http://schemas.openxmlformats.org/spreadsheetml/2006/main">
  <c i="1" l="1" r="J9"/>
  <c r="J8"/>
  <c r="J7"/>
  <c r="J6"/>
  <c r="AA4"/>
  <c r="AA3"/>
  <c r="AA2"/>
  <c r="X7"/>
  <c r="X6"/>
  <c r="X5"/>
  <c r="X4"/>
  <c r="X3"/>
  <c r="X2"/>
  <c r="T7"/>
  <c r="T6"/>
  <c r="T5"/>
  <c r="T4"/>
  <c r="T3"/>
  <c r="T2"/>
  <c r="O11"/>
  <c r="O10"/>
  <c r="O9"/>
  <c r="O8"/>
  <c r="O7"/>
  <c r="O6"/>
  <c r="O5"/>
  <c r="O4"/>
  <c r="O3"/>
  <c r="O2"/>
  <c r="L5"/>
  <c r="L6"/>
  <c r="L4"/>
  <c r="L3"/>
  <c r="L2"/>
  <c r="I101"/>
  <c r="I100"/>
  <c r="I99"/>
  <c r="I98"/>
  <c r="I97"/>
  <c r="I96"/>
  <c r="I95"/>
  <c r="I92"/>
  <c r="I91"/>
  <c r="I90"/>
  <c r="I88"/>
  <c r="I87"/>
  <c r="I86"/>
  <c r="I85"/>
  <c r="I84"/>
  <c r="I83"/>
  <c r="I94"/>
  <c r="I82"/>
  <c r="I81"/>
  <c r="I80"/>
  <c r="I79"/>
  <c r="I78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89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28"/>
  <c r="I27"/>
  <c r="I26"/>
  <c r="I25"/>
  <c r="I24"/>
  <c r="I23"/>
  <c r="I22"/>
  <c r="I21"/>
  <c r="I77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J5"/>
  <c r="J4"/>
  <c r="J3"/>
  <c r="J2"/>
  <c r="I93"/>
  <c r="I31"/>
  <c r="I30"/>
  <c r="I29"/>
</calcChain>
</file>

<file path=xl/sharedStrings.xml><?xml version="1.0" encoding="utf-8"?>
<sst xmlns="http://schemas.openxmlformats.org/spreadsheetml/2006/main">
  <si>
    <t>Order_ID</t>
  </si>
  <si>
    <t>Date</t>
  </si>
  <si>
    <t>Region</t>
  </si>
  <si>
    <t>Salesperson</t>
  </si>
  <si>
    <t>Product</t>
  </si>
  <si>
    <t>Category</t>
  </si>
  <si>
    <t>Units</t>
  </si>
  <si>
    <t>Unit_Price</t>
  </si>
  <si>
    <t>Total_Sales</t>
  </si>
  <si>
    <t>REGION</t>
  </si>
  <si>
    <t>SALES BY REGION</t>
  </si>
  <si>
    <t>PRODUCT</t>
  </si>
  <si>
    <t>SALES BY PRODUCT</t>
  </si>
  <si>
    <t>MONTH</t>
  </si>
  <si>
    <t>MONTHLY SALES TREND</t>
  </si>
  <si>
    <t>SALESPERSON</t>
  </si>
  <si>
    <t>SALES BY PERSON</t>
  </si>
  <si>
    <t>CATEGORIES</t>
  </si>
  <si>
    <t>SALES BY CATEGORY</t>
  </si>
  <si>
    <t>ORD004</t>
  </si>
  <si>
    <t>2026-05-24</t>
  </si>
  <si>
    <t>South</t>
  </si>
  <si>
    <t>Neha</t>
  </si>
  <si>
    <t>Mouse</t>
  </si>
  <si>
    <t>Accessories</t>
  </si>
  <si>
    <t>NORTH</t>
  </si>
  <si>
    <t>LAPTOP</t>
  </si>
  <si>
    <t>JANUARY</t>
  </si>
  <si>
    <t>AARAV</t>
  </si>
  <si>
    <t>ELECTROICS</t>
  </si>
  <si>
    <t>ORD015</t>
  </si>
  <si>
    <t>2026-06-29</t>
  </si>
  <si>
    <t>North</t>
  </si>
  <si>
    <t>Vikram</t>
  </si>
  <si>
    <t>SOUTH</t>
  </si>
  <si>
    <t>MONITOR</t>
  </si>
  <si>
    <t>FEBUARY</t>
  </si>
  <si>
    <t>PRIYA</t>
  </si>
  <si>
    <t>FURNITURE</t>
  </si>
  <si>
    <t>ORD018</t>
  </si>
  <si>
    <t>2026-03-22</t>
  </si>
  <si>
    <t>West</t>
  </si>
  <si>
    <t>Rahul</t>
  </si>
  <si>
    <t>EAST</t>
  </si>
  <si>
    <t>KEYBOARD</t>
  </si>
  <si>
    <t>MARCH</t>
  </si>
  <si>
    <t>RAHUL</t>
  </si>
  <si>
    <t>ACCESSORIES</t>
  </si>
  <si>
    <t>ORD023</t>
  </si>
  <si>
    <t>2026-05-11</t>
  </si>
  <si>
    <t>Aarav</t>
  </si>
  <si>
    <t>WEST</t>
  </si>
  <si>
    <t>MOUSE</t>
  </si>
  <si>
    <t>APRIL</t>
  </si>
  <si>
    <t>ANANYA</t>
  </si>
  <si>
    <t>ORD038</t>
  </si>
  <si>
    <t>2026-01-17</t>
  </si>
  <si>
    <t>East</t>
  </si>
  <si>
    <t>GRAND TOTAL</t>
  </si>
  <si>
    <t>HEADPHONES</t>
  </si>
  <si>
    <t>MAY</t>
  </si>
  <si>
    <t>VIKRAM</t>
  </si>
  <si>
    <t>ORD044</t>
  </si>
  <si>
    <t>2026-01-25</t>
  </si>
  <si>
    <t>TABLET</t>
  </si>
  <si>
    <t>JUNE</t>
  </si>
  <si>
    <t>NEHA</t>
  </si>
  <si>
    <t>ORD047</t>
  </si>
  <si>
    <t>2026-02-18</t>
  </si>
  <si>
    <t>Priya</t>
  </si>
  <si>
    <t>PRINTER</t>
  </si>
  <si>
    <t>ORD055</t>
  </si>
  <si>
    <t>2026-05-29</t>
  </si>
  <si>
    <t>OFFICE CHAIR</t>
  </si>
  <si>
    <t>ORD061</t>
  </si>
  <si>
    <t>2026-03-03</t>
  </si>
  <si>
    <t>Ananya</t>
  </si>
  <si>
    <t>DESK</t>
  </si>
  <si>
    <t>ORD070</t>
  </si>
  <si>
    <t>2026-02-22</t>
  </si>
  <si>
    <t>WEBCAM</t>
  </si>
  <si>
    <t>ORD081</t>
  </si>
  <si>
    <t>2026-02-10</t>
  </si>
  <si>
    <t>ORD084</t>
  </si>
  <si>
    <t>2026-03-26</t>
  </si>
  <si>
    <t>ORD002</t>
  </si>
  <si>
    <t>2026-06-23</t>
  </si>
  <si>
    <t>Keyboard</t>
  </si>
  <si>
    <t>ORD016</t>
  </si>
  <si>
    <t>2026-02-11</t>
  </si>
  <si>
    <t>ORD062</t>
  </si>
  <si>
    <t>2026-04-28</t>
  </si>
  <si>
    <t>ORD066</t>
  </si>
  <si>
    <t>2026-05-20</t>
  </si>
  <si>
    <t>ORD073</t>
  </si>
  <si>
    <t>ORD075</t>
  </si>
  <si>
    <t>2026-04-05</t>
  </si>
  <si>
    <t>ORD076</t>
  </si>
  <si>
    <t>2026-03-20</t>
  </si>
  <si>
    <t>ORD079</t>
  </si>
  <si>
    <t>ORD087</t>
  </si>
  <si>
    <t>2026-01-10</t>
  </si>
  <si>
    <t>ORD094</t>
  </si>
  <si>
    <t>2026-04-18</t>
  </si>
  <si>
    <t>ORD095</t>
  </si>
  <si>
    <t>2026-04-14</t>
  </si>
  <si>
    <t>ORD006</t>
  </si>
  <si>
    <t>Headphones</t>
  </si>
  <si>
    <t>ORD007</t>
  </si>
  <si>
    <t>2026-02-25</t>
  </si>
  <si>
    <t>ORD017</t>
  </si>
  <si>
    <t>2026-06-25</t>
  </si>
  <si>
    <t>ORD021</t>
  </si>
  <si>
    <t>2026-03-05</t>
  </si>
  <si>
    <t>ORD028</t>
  </si>
  <si>
    <t>ORD029</t>
  </si>
  <si>
    <t>2026-05-10</t>
  </si>
  <si>
    <t>ORD030</t>
  </si>
  <si>
    <t>2026-02-09</t>
  </si>
  <si>
    <t>ORD053</t>
  </si>
  <si>
    <t>2026-03-15</t>
  </si>
  <si>
    <t>ORD085</t>
  </si>
  <si>
    <t>2026-06-14</t>
  </si>
  <si>
    <t>ORD096</t>
  </si>
  <si>
    <t>2026-04-21</t>
  </si>
  <si>
    <t>ORD100</t>
  </si>
  <si>
    <t>2026-02-20</t>
  </si>
  <si>
    <t>ORD009</t>
  </si>
  <si>
    <t>2026-01-12</t>
  </si>
  <si>
    <t>Webcam</t>
  </si>
  <si>
    <t>Electronics</t>
  </si>
  <si>
    <t>ORD011</t>
  </si>
  <si>
    <t>2026-05-28</t>
  </si>
  <si>
    <t>ORD022</t>
  </si>
  <si>
    <t>2026-05-30</t>
  </si>
  <si>
    <t>ORD039</t>
  </si>
  <si>
    <t>2026-05-31</t>
  </si>
  <si>
    <t>ORD043</t>
  </si>
  <si>
    <t>2026-03-04</t>
  </si>
  <si>
    <t>ORD014</t>
  </si>
  <si>
    <t>Office Chair</t>
  </si>
  <si>
    <t>Furniture</t>
  </si>
  <si>
    <t>ORD020</t>
  </si>
  <si>
    <t>ORD026</t>
  </si>
  <si>
    <t>2026-05-22</t>
  </si>
  <si>
    <t>ORD034</t>
  </si>
  <si>
    <t>2026-05-17</t>
  </si>
  <si>
    <t>ORD035</t>
  </si>
  <si>
    <t>2026-03-09</t>
  </si>
  <si>
    <t>ORD042</t>
  </si>
  <si>
    <t>2026-05-19</t>
  </si>
  <si>
    <t>ORD071</t>
  </si>
  <si>
    <t>2026-01-14</t>
  </si>
  <si>
    <t>ORD097</t>
  </si>
  <si>
    <t>2026-06-22</t>
  </si>
  <si>
    <t>ORD098</t>
  </si>
  <si>
    <t>2026-06-18</t>
  </si>
  <si>
    <t>ORD003</t>
  </si>
  <si>
    <t>2026-01-08</t>
  </si>
  <si>
    <t>Printer</t>
  </si>
  <si>
    <t>Office Equipment</t>
  </si>
  <si>
    <t>ORD025</t>
  </si>
  <si>
    <t>2026-04-09</t>
  </si>
  <si>
    <t>ORD045</t>
  </si>
  <si>
    <t>2026-04-30</t>
  </si>
  <si>
    <t>ORD048</t>
  </si>
  <si>
    <t>2026-03-13</t>
  </si>
  <si>
    <t>ORD051</t>
  </si>
  <si>
    <t>2026-05-04</t>
  </si>
  <si>
    <t>ORD072</t>
  </si>
  <si>
    <t>ORD074</t>
  </si>
  <si>
    <t>2026-01-29</t>
  </si>
  <si>
    <t>ORD088</t>
  </si>
  <si>
    <t>ORD091</t>
  </si>
  <si>
    <t>2026-06-20</t>
  </si>
  <si>
    <t>ORD093</t>
  </si>
  <si>
    <t>ORD005</t>
  </si>
  <si>
    <t>2026-02-26</t>
  </si>
  <si>
    <t>Desk</t>
  </si>
  <si>
    <t>ORD031</t>
  </si>
  <si>
    <t>2026-06-03</t>
  </si>
  <si>
    <t>ORD036</t>
  </si>
  <si>
    <t>2026-03-21</t>
  </si>
  <si>
    <t>ORD050</t>
  </si>
  <si>
    <t>2026-01-24</t>
  </si>
  <si>
    <t>ORD054</t>
  </si>
  <si>
    <t>ORD057</t>
  </si>
  <si>
    <t>2026-01-15</t>
  </si>
  <si>
    <t>ORD064</t>
  </si>
  <si>
    <t>ORD067</t>
  </si>
  <si>
    <t>ORD069</t>
  </si>
  <si>
    <t>2026-03-11</t>
  </si>
  <si>
    <t>ORD086</t>
  </si>
  <si>
    <t>ORD089</t>
  </si>
  <si>
    <t>ORD099</t>
  </si>
  <si>
    <t>ORD001</t>
  </si>
  <si>
    <t>2026-03-12</t>
  </si>
  <si>
    <t>Monitor</t>
  </si>
  <si>
    <t>ORD008</t>
  </si>
  <si>
    <t>ORD010</t>
  </si>
  <si>
    <t>2026-01-21</t>
  </si>
  <si>
    <t>ORD012</t>
  </si>
  <si>
    <t>2026-06-19</t>
  </si>
  <si>
    <t>ORD013</t>
  </si>
  <si>
    <t>2026-01-26</t>
  </si>
  <si>
    <t>ORD019</t>
  </si>
  <si>
    <t>2026-05-26</t>
  </si>
  <si>
    <t>ORD027</t>
  </si>
  <si>
    <t>ORD040</t>
  </si>
  <si>
    <t>2026-02-28</t>
  </si>
  <si>
    <t>ORD046</t>
  </si>
  <si>
    <t>ORD049</t>
  </si>
  <si>
    <t>2026-05-21</t>
  </si>
  <si>
    <t>ORD058</t>
  </si>
  <si>
    <t>ORD059</t>
  </si>
  <si>
    <t>ORD060</t>
  </si>
  <si>
    <t>ORD068</t>
  </si>
  <si>
    <t>ORD078</t>
  </si>
  <si>
    <t>ORD037</t>
  </si>
  <si>
    <t>2026-05-13</t>
  </si>
  <si>
    <t>Tablet</t>
  </si>
  <si>
    <t>ORD041</t>
  </si>
  <si>
    <t>2026-05-12</t>
  </si>
  <si>
    <t>ORD056</t>
  </si>
  <si>
    <t>2026-01-13</t>
  </si>
  <si>
    <t>ORD065</t>
  </si>
  <si>
    <t>ORD077</t>
  </si>
  <si>
    <t>2026-06-24</t>
  </si>
  <si>
    <t>ORD083</t>
  </si>
  <si>
    <t>ORD092</t>
  </si>
  <si>
    <t>2026-03-18</t>
  </si>
  <si>
    <t>ORD024</t>
  </si>
  <si>
    <t>Laptop</t>
  </si>
  <si>
    <t>ORD032</t>
  </si>
  <si>
    <t>2026-04-03</t>
  </si>
  <si>
    <t>ORD033</t>
  </si>
  <si>
    <t>ORD052</t>
  </si>
  <si>
    <t>2026-04-08</t>
  </si>
  <si>
    <t>ORD063</t>
  </si>
  <si>
    <t>2026-06-09</t>
  </si>
  <si>
    <t>ORD080</t>
  </si>
  <si>
    <t>2026-03-27</t>
  </si>
  <si>
    <t>ORD082</t>
  </si>
  <si>
    <t>ORD090</t>
  </si>
  <si>
    <t>2026-01-01</t>
  </si>
  <si>
    <t>Day 1 Task</t>
  </si>
  <si>
    <t>Open Sales_Data and inspect the columns.</t>
  </si>
  <si>
    <t>Format the data as an Excel Table.</t>
  </si>
  <si>
    <t>Check that Date is recognized as a date.</t>
  </si>
  <si>
    <t>Use Sort to find the highest Unit_Price.</t>
  </si>
  <si>
    <t>Filter Region to North.</t>
  </si>
  <si>
    <t>Calculate Total Sales using Units × Unit_Price.</t>
  </si>
  <si>
    <t>Calculate total orders, total units, total sales, and average order value.</t>
  </si>
  <si>
    <t>Save your completed workbook as Sales_Analysis.xlsx.</t>
  </si>
  <si>
    <t>SALES ANALYTICS DASHBOARD</t>
  </si>
  <si>
    <t>TOTAL ORDERS</t>
  </si>
  <si>
    <t>TOTAL UNITS</t>
  </si>
  <si>
    <t>TOTAL SALES</t>
  </si>
  <si>
    <t>AVG ORDER VALUE</t>
  </si>
</sst>
</file>

<file path=xl/styles.xml><?xml version="1.0" encoding="utf-8"?>
<styleSheet xmlns="http://schemas.openxmlformats.org/spreadsheetml/2006/main">
  <numFmts count="1">
    <numFmt numFmtId="164" formatCode="_(₹#,##0.00_);[Red](₹#,##0.00)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24"/>
      <color theme="1"/>
      <name val="Calibri"/>
      <scheme val="minor"/>
    </font>
    <font>
      <b/>
      <sz val="1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/>
    <border>
      <left style="thin"/>
      <right style="thin"/>
      <top style="thin"/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Sales_Data!$L$1</c:f>
              <c:strCache>
                <c:ptCount val="1"/>
                <c:pt idx="0">
                  <c:v>SALES BY REGION</c:v>
                </c:pt>
              </c:strCache>
            </c:strRef>
          </c:tx>
          <c:invertIfNegative val="0"/>
          <c:cat>
            <c:strRef>
              <c:f>Sales_Data!$K$2:$K$5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Sales_Data!$L$2:$L$5</c:f>
              <c:numCache>
                <c:ptCount val="4"/>
                <c:pt idx="0">
                  <c:v>1558300</c:v>
                </c:pt>
                <c:pt idx="1">
                  <c:v>1828300</c:v>
                </c:pt>
                <c:pt idx="2">
                  <c:v>1140400</c:v>
                </c:pt>
                <c:pt idx="3">
                  <c:v>1125500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Sales_Data!$O$1</c:f>
              <c:strCache>
                <c:ptCount val="1"/>
                <c:pt idx="0">
                  <c:v>SALES BY PRODUCT</c:v>
                </c:pt>
              </c:strCache>
            </c:strRef>
          </c:tx>
          <c:invertIfNegative val="0"/>
          <c:cat>
            <c:strRef>
              <c:f>Sales_Data!$N$2:$N$11</c:f>
              <c:strCache>
                <c:ptCount val="10"/>
                <c:pt idx="0">
                  <c:v>LAPTOP</c:v>
                </c:pt>
                <c:pt idx="1">
                  <c:v>MONITOR</c:v>
                </c:pt>
                <c:pt idx="2">
                  <c:v>KEYBOARD</c:v>
                </c:pt>
                <c:pt idx="3">
                  <c:v>MOUSE</c:v>
                </c:pt>
                <c:pt idx="4">
                  <c:v>HEADPHONES</c:v>
                </c:pt>
                <c:pt idx="5">
                  <c:v>TABLET</c:v>
                </c:pt>
                <c:pt idx="6">
                  <c:v>PRINTER</c:v>
                </c:pt>
                <c:pt idx="7">
                  <c:v>OFFICE CHAIR</c:v>
                </c:pt>
                <c:pt idx="8">
                  <c:v>DESK</c:v>
                </c:pt>
                <c:pt idx="9">
                  <c:v>WEBCAM</c:v>
                </c:pt>
              </c:strCache>
            </c:strRef>
          </c:cat>
          <c:val>
            <c:numRef>
              <c:f>Sales_Data!$O$2:$O$11</c:f>
              <c:numCache>
                <c:ptCount val="10"/>
                <c:pt idx="0">
                  <c:v>2035000</c:v>
                </c:pt>
                <c:pt idx="1">
                  <c:v>1098000</c:v>
                </c:pt>
                <c:pt idx="2">
                  <c:v>66000</c:v>
                </c:pt>
                <c:pt idx="3">
                  <c:v>36000</c:v>
                </c:pt>
                <c:pt idx="4">
                  <c:v>117500</c:v>
                </c:pt>
                <c:pt idx="5">
                  <c:v>672000</c:v>
                </c:pt>
                <c:pt idx="6">
                  <c:v>492000</c:v>
                </c:pt>
                <c:pt idx="7">
                  <c:v>387000</c:v>
                </c:pt>
                <c:pt idx="8">
                  <c:v>644000</c:v>
                </c:pt>
                <c:pt idx="9">
                  <c:v>105000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Sales_Data!$T$1</c:f>
              <c:strCache>
                <c:ptCount val="1"/>
                <c:pt idx="0">
                  <c:v>MONTHLY SALES TREND</c:v>
                </c:pt>
              </c:strCache>
            </c:strRef>
          </c:tx>
          <c:invertIfNegative val="0"/>
          <c:cat>
            <c:strRef>
              <c:f>Sales_Data!$S$2:$S$7</c:f>
              <c:strCache>
                <c:ptCount val="6"/>
                <c:pt idx="0">
                  <c:v>JANUARY</c:v>
                </c:pt>
                <c:pt idx="1">
                  <c:v>FEBUARY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Sales_Data!$T$2:$T$7</c:f>
              <c:numCache>
                <c:ptCount val="6"/>
                <c:pt idx="0">
                  <c:v>1119800</c:v>
                </c:pt>
                <c:pt idx="1">
                  <c:v>1051000</c:v>
                </c:pt>
                <c:pt idx="2">
                  <c:v>650200</c:v>
                </c:pt>
                <c:pt idx="3">
                  <c:v>533500</c:v>
                </c:pt>
                <c:pt idx="4">
                  <c:v>1230000</c:v>
                </c:pt>
                <c:pt idx="5">
                  <c:v>1068000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Sales_Data!$X$1</c:f>
              <c:strCache>
                <c:ptCount val="1"/>
                <c:pt idx="0">
                  <c:v>SALES BY PERSON</c:v>
                </c:pt>
              </c:strCache>
            </c:strRef>
          </c:tx>
          <c:invertIfNegative val="0"/>
          <c:cat>
            <c:strRef>
              <c:f>Sales_Data!$W$2:$W$7</c:f>
              <c:strCache>
                <c:ptCount val="6"/>
                <c:pt idx="0">
                  <c:v>AARAV</c:v>
                </c:pt>
                <c:pt idx="1">
                  <c:v>PRIYA</c:v>
                </c:pt>
                <c:pt idx="2">
                  <c:v>RAHUL</c:v>
                </c:pt>
                <c:pt idx="3">
                  <c:v>ANANYA</c:v>
                </c:pt>
                <c:pt idx="4">
                  <c:v>VIKRAM</c:v>
                </c:pt>
                <c:pt idx="5">
                  <c:v>NEHA</c:v>
                </c:pt>
              </c:strCache>
            </c:strRef>
          </c:cat>
          <c:val>
            <c:numRef>
              <c:f>Sales_Data!$X$2:$X$7</c:f>
              <c:numCache>
                <c:ptCount val="6"/>
                <c:pt idx="0">
                  <c:v>1427200</c:v>
                </c:pt>
                <c:pt idx="1">
                  <c:v>481200</c:v>
                </c:pt>
                <c:pt idx="2">
                  <c:v>1240900</c:v>
                </c:pt>
                <c:pt idx="3">
                  <c:v>811300</c:v>
                </c:pt>
                <c:pt idx="4">
                  <c:v>668300</c:v>
                </c:pt>
                <c:pt idx="5">
                  <c:v>1023600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Sales_Data!$AA$1</c:f>
              <c:strCache>
                <c:ptCount val="1"/>
                <c:pt idx="0">
                  <c:v>SALES BY CATEGORY</c:v>
                </c:pt>
              </c:strCache>
            </c:strRef>
          </c:tx>
          <c:invertIfNegative val="0"/>
          <c:cat>
            <c:strRef>
              <c:f>Sales_Data!$Z$2:$Z$4</c:f>
              <c:strCache>
                <c:ptCount val="3"/>
                <c:pt idx="0">
                  <c:v>ELECTROICS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Sales_Data!$AA$2:$AA$4</c:f>
              <c:numCache>
                <c:ptCount val="3"/>
                <c:pt idx="0">
                  <c:v>3910000</c:v>
                </c:pt>
                <c:pt idx="1">
                  <c:v>1031000</c:v>
                </c:pt>
                <c:pt idx="2">
                  <c:v>219500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4</xdr:row>
      <xdr:rowOff>167640</xdr:rowOff>
    </xdr:from>
    <xdr:to>
      <xdr:col>3</xdr:col>
      <xdr:colOff>1859280</xdr:colOff>
      <xdr:row>17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182880</xdr:colOff>
      <xdr:row>4</xdr:row>
      <xdr:rowOff>144780</xdr:rowOff>
    </xdr:from>
    <xdr:to>
      <xdr:col>13</xdr:col>
      <xdr:colOff>601980</xdr:colOff>
      <xdr:row>18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18</xdr:row>
      <xdr:rowOff>175260</xdr:rowOff>
    </xdr:from>
    <xdr:to>
      <xdr:col>4</xdr:col>
      <xdr:colOff>7620</xdr:colOff>
      <xdr:row>33</xdr:row>
      <xdr:rowOff>175260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175260</xdr:colOff>
      <xdr:row>18</xdr:row>
      <xdr:rowOff>167640</xdr:rowOff>
    </xdr:from>
    <xdr:to>
      <xdr:col>13</xdr:col>
      <xdr:colOff>601980</xdr:colOff>
      <xdr:row>33</xdr:row>
      <xdr:rowOff>167640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22860</xdr:colOff>
      <xdr:row>34</xdr:row>
      <xdr:rowOff>167640</xdr:rowOff>
    </xdr:from>
    <xdr:to>
      <xdr:col>13</xdr:col>
      <xdr:colOff>266700</xdr:colOff>
      <xdr:row>49</xdr:row>
      <xdr:rowOff>167640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$A$1:$I$101" totalsRowShown="0">
  <autoFilter ref="$A$1:$I$101"/>
  <sortState ref="$A$2:$I$101">
    <sortCondition ref="H2:H101"/>
  </sortState>
  <tableColumns count="9">
    <tableColumn id="1" name="Order_ID"/>
    <tableColumn id="2" name="Date"/>
    <tableColumn id="3" name="Region"/>
    <tableColumn id="4" name="Salesperson"/>
    <tableColumn id="5" name="Product"/>
    <tableColumn id="6" name="Category"/>
    <tableColumn id="7" name="Units"/>
    <tableColumn id="8" name="Unit_Price"/>
    <tableColumn id="9" name="Total_Sales"/>
  </tableColumns>
  <tableStyleInfo name="TableStyleMedium9" showColumnStripes="0" showFirstColumn="0" showLastColumn="0" showRowStripes="1"/>
</table>
</file>

<file path=xl/tables/table2.xml><?xml version="1.0" encoding="utf-8"?>
<table xmlns="http://schemas.openxmlformats.org/spreadsheetml/2006/main" id="2" name="Table2" displayName="Table2" ref="$K$1:$L$5" totalsRowShown="0">
  <autoFilter ref="$K$1:$L$5"/>
  <tableColumns count="2">
    <tableColumn id="1" name="REGION"/>
    <tableColumn id="2" name="SALES BY REGION"/>
  </tableColumns>
  <tableStyleInfo name="TableStyleMedium9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Relationship Id="rId2" Type="http://schemas.openxmlformats.org/officeDocument/2006/relationships/table" Target="../tables/table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="40" zoomScaleNormal="40" workbookViewId="0" topLeftCell="D10">
      <selection activeCell="Q46" sqref="Q46"/>
    </sheetView>
  </sheetViews>
  <sheetFormatPr defaultRowHeight="14.4"/>
  <cols>
    <col min="1" max="1" width="13" customWidth="1"/>
    <col min="2" max="2" width="10.33203" customWidth="1"/>
    <col min="3" max="3" width="11.21875" customWidth="1"/>
    <col min="4" max="4" width="15.44141" customWidth="1"/>
    <col min="5" max="5" width="12.10938" customWidth="1"/>
    <col min="6" max="6" width="15.10938" customWidth="1"/>
    <col min="7" max="7" width="9.777344" customWidth="1"/>
    <col min="8" max="8" width="14.10938" customWidth="1"/>
    <col min="9" max="9" width="14.88672" customWidth="1"/>
    <col min="11" max="11" width="9.664063" customWidth="1"/>
    <col min="12" max="12" width="14.109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9</v>
      </c>
      <c r="L1" t="s">
        <v>10</v>
      </c>
      <c r="N1" t="s">
        <v>11</v>
      </c>
      <c r="O1" t="s">
        <v>12</v>
      </c>
      <c r="S1" t="s">
        <v>13</v>
      </c>
      <c r="T1" t="s">
        <v>14</v>
      </c>
      <c r="W1" t="s">
        <v>15</v>
      </c>
      <c r="X1" t="s">
        <v>16</v>
      </c>
      <c r="Z1" t="s">
        <v>17</v>
      </c>
      <c r="AA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1</v>
      </c>
      <c r="H2">
        <v>800</v>
      </c>
      <c r="I2">
        <f>G2*H2</f>
        <v>800</v>
      </c>
      <c r="J2">
        <f>COUNTA(A2:A101)</f>
        <v>100</v>
      </c>
      <c r="K2" t="s">
        <v>25</v>
      </c>
      <c r="L2">
        <f>SUMIF(C2:C101,"NORTH",I2:I101)</f>
        <v>1558300</v>
      </c>
      <c r="N2" t="s">
        <v>26</v>
      </c>
      <c r="O2">
        <f t="shared" ref="O2:O11" si="0">SUMIF(E:E,N2,I:I)</f>
        <v>2035000</v>
      </c>
      <c r="S2" t="s">
        <v>27</v>
      </c>
      <c r="T2">
        <f t="shared" ref="T2:T7" si="1">SUMPRODUCT((YEAR($B$2:$B$101)=2026)*(MONTH($B$2:$B$101)=1)*$I$2:$I$101)</f>
        <v>1119800</v>
      </c>
      <c r="W2" t="s">
        <v>28</v>
      </c>
      <c r="X2">
        <f t="shared" ref="X2:X7" si="2">SUMIF($D$2:$D$101,W2,$I$2:$I$101)</f>
        <v>1427200</v>
      </c>
      <c r="Z2" t="s">
        <v>29</v>
      </c>
      <c r="AA2">
        <f>SUMIF($F$2:$F$101,F36,$I$2:$I$101)</f>
        <v>3910000</v>
      </c>
    </row>
    <row r="3">
      <c r="A3" t="s">
        <v>30</v>
      </c>
      <c r="B3" t="s">
        <v>31</v>
      </c>
      <c r="C3" t="s">
        <v>32</v>
      </c>
      <c r="D3" t="s">
        <v>33</v>
      </c>
      <c r="E3" t="s">
        <v>23</v>
      </c>
      <c r="F3" t="s">
        <v>24</v>
      </c>
      <c r="G3">
        <v>5</v>
      </c>
      <c r="H3">
        <v>800</v>
      </c>
      <c r="I3">
        <f>G3*H3</f>
        <v>4000</v>
      </c>
      <c r="J3">
        <f>SUM(G2:G101)</f>
        <v>418</v>
      </c>
      <c r="K3" t="s">
        <v>34</v>
      </c>
      <c r="L3">
        <f>SUMIF(C2:C101,"SOUTH",I2:I101)</f>
        <v>1828300</v>
      </c>
      <c r="N3" t="s">
        <v>35</v>
      </c>
      <c r="O3">
        <f t="shared" si="0"/>
        <v>1098000</v>
      </c>
      <c r="S3" t="s">
        <v>36</v>
      </c>
      <c r="T3">
        <f>SUMPRODUCT((YEAR($B$2:$B$101)=2026)*(MONTH($B$2:$B$101)=2)*$I$2:$I$101)</f>
        <v>1051000</v>
      </c>
      <c r="W3" t="s">
        <v>37</v>
      </c>
      <c r="X3">
        <f t="shared" si="2"/>
        <v>481200</v>
      </c>
      <c r="Z3" t="s">
        <v>38</v>
      </c>
      <c r="AA3">
        <f>SUMIF($F$2:$F$101,F41,$I$2:$I$101)</f>
        <v>1031000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23</v>
      </c>
      <c r="F4" t="s">
        <v>24</v>
      </c>
      <c r="G4">
        <v>1</v>
      </c>
      <c r="H4">
        <v>800</v>
      </c>
      <c r="I4">
        <f>G4*H4</f>
        <v>800</v>
      </c>
      <c r="J4">
        <f>SUM(I2:I101)</f>
        <v>5652500</v>
      </c>
      <c r="K4" t="s">
        <v>43</v>
      </c>
      <c r="L4">
        <f>SUMIF(C2:C101,"East",I2:I101)</f>
        <v>1140400</v>
      </c>
      <c r="N4" t="s">
        <v>44</v>
      </c>
      <c r="O4">
        <f t="shared" si="0"/>
        <v>66000</v>
      </c>
      <c r="S4" t="s">
        <v>45</v>
      </c>
      <c r="T4">
        <f>SUMPRODUCT((YEAR($B$2:$B$101)=2026)*(MONTH($B$2:$B$101)=3)*$I$2:$I$101)</f>
        <v>650200</v>
      </c>
      <c r="W4" t="s">
        <v>46</v>
      </c>
      <c r="X4">
        <f t="shared" si="2"/>
        <v>1240900</v>
      </c>
      <c r="Z4" t="s">
        <v>47</v>
      </c>
      <c r="AA4">
        <f>SUMIF($F$2:$F$101,F2,$I$2:$I$101)</f>
        <v>219500</v>
      </c>
    </row>
    <row r="5">
      <c r="A5" t="s">
        <v>48</v>
      </c>
      <c r="B5" t="s">
        <v>49</v>
      </c>
      <c r="C5" t="s">
        <v>41</v>
      </c>
      <c r="D5" t="s">
        <v>50</v>
      </c>
      <c r="E5" t="s">
        <v>23</v>
      </c>
      <c r="F5" t="s">
        <v>24</v>
      </c>
      <c r="G5">
        <v>3</v>
      </c>
      <c r="H5">
        <v>800</v>
      </c>
      <c r="I5">
        <f>G5*H5</f>
        <v>2400</v>
      </c>
      <c r="J5">
        <f>AVERAGE(I2:I101)</f>
        <v>56525</v>
      </c>
      <c r="K5" t="s">
        <v>51</v>
      </c>
      <c r="L5">
        <f>SUMIF(C2:C101,"WEST",I2:I101)</f>
        <v>1125500</v>
      </c>
      <c r="N5" t="s">
        <v>52</v>
      </c>
      <c r="O5">
        <f t="shared" si="0"/>
        <v>36000</v>
      </c>
      <c r="S5" t="s">
        <v>53</v>
      </c>
      <c r="T5">
        <f>SUMPRODUCT((YEAR($B$2:$B$101)=2026)*(MONTH($B$2:$B$101)=4)*$I$2:$I$101)</f>
        <v>533500</v>
      </c>
      <c r="W5" t="s">
        <v>54</v>
      </c>
      <c r="X5">
        <f t="shared" si="2"/>
        <v>811300</v>
      </c>
    </row>
    <row r="6">
      <c r="A6" t="s">
        <v>55</v>
      </c>
      <c r="B6" t="s">
        <v>56</v>
      </c>
      <c r="C6" t="s">
        <v>57</v>
      </c>
      <c r="D6" t="s">
        <v>50</v>
      </c>
      <c r="E6" t="s">
        <v>23</v>
      </c>
      <c r="F6" t="s">
        <v>24</v>
      </c>
      <c r="G6">
        <v>4</v>
      </c>
      <c r="H6">
        <v>800</v>
      </c>
      <c r="I6">
        <f>G6*H6</f>
        <v>3200</v>
      </c>
      <c r="J6">
        <f>COUNTA(A2:A101)</f>
        <v>100</v>
      </c>
      <c r="K6" t="s">
        <v>58</v>
      </c>
      <c r="L6">
        <f>SUM(L1:L5)</f>
        <v>5652500</v>
      </c>
      <c r="N6" t="s">
        <v>59</v>
      </c>
      <c r="O6">
        <f t="shared" si="0"/>
        <v>117500</v>
      </c>
      <c r="S6" t="s">
        <v>60</v>
      </c>
      <c r="T6">
        <f>SUMPRODUCT((YEAR($B$2:$B$101)=2026)*(MONTH($B$2:$B$101)=5)*$I$2:$I$101)</f>
        <v>1230000</v>
      </c>
      <c r="W6" t="s">
        <v>61</v>
      </c>
      <c r="X6">
        <f t="shared" si="2"/>
        <v>668300</v>
      </c>
    </row>
    <row r="7">
      <c r="A7" t="s">
        <v>62</v>
      </c>
      <c r="B7" t="s">
        <v>63</v>
      </c>
      <c r="C7" t="s">
        <v>41</v>
      </c>
      <c r="D7" t="s">
        <v>42</v>
      </c>
      <c r="E7" t="s">
        <v>23</v>
      </c>
      <c r="F7" t="s">
        <v>24</v>
      </c>
      <c r="G7">
        <v>2</v>
      </c>
      <c r="H7">
        <v>800</v>
      </c>
      <c r="I7">
        <f>G7*H7</f>
        <v>1600</v>
      </c>
      <c r="J7">
        <f>SUM(G2:G101)</f>
        <v>418</v>
      </c>
      <c r="N7" t="s">
        <v>64</v>
      </c>
      <c r="O7">
        <f t="shared" si="0"/>
        <v>672000</v>
      </c>
      <c r="S7" t="s">
        <v>65</v>
      </c>
      <c r="T7">
        <f>SUMPRODUCT((YEAR($B$2:$B$101)=2026)*(MONTH($B$2:$B$101)=6)*$I$2:$I$101)</f>
        <v>1068000</v>
      </c>
      <c r="W7" t="s">
        <v>66</v>
      </c>
      <c r="X7">
        <f t="shared" si="2"/>
        <v>1023600</v>
      </c>
    </row>
    <row r="8">
      <c r="A8" t="s">
        <v>67</v>
      </c>
      <c r="B8" t="s">
        <v>68</v>
      </c>
      <c r="C8" t="s">
        <v>41</v>
      </c>
      <c r="D8" t="s">
        <v>69</v>
      </c>
      <c r="E8" t="s">
        <v>23</v>
      </c>
      <c r="F8" t="s">
        <v>24</v>
      </c>
      <c r="G8">
        <v>4</v>
      </c>
      <c r="H8">
        <v>800</v>
      </c>
      <c r="I8">
        <f>G8*H8</f>
        <v>3200</v>
      </c>
      <c r="J8">
        <f>SUM(I2:I101)</f>
        <v>5652500</v>
      </c>
      <c r="N8" t="s">
        <v>70</v>
      </c>
      <c r="O8">
        <f t="shared" si="0"/>
        <v>492000</v>
      </c>
    </row>
    <row r="9">
      <c r="A9" t="s">
        <v>71</v>
      </c>
      <c r="B9" t="s">
        <v>72</v>
      </c>
      <c r="C9" t="s">
        <v>32</v>
      </c>
      <c r="D9" t="s">
        <v>22</v>
      </c>
      <c r="E9" t="s">
        <v>23</v>
      </c>
      <c r="F9" t="s">
        <v>24</v>
      </c>
      <c r="G9">
        <v>1</v>
      </c>
      <c r="H9">
        <v>800</v>
      </c>
      <c r="I9">
        <f>G9*H9</f>
        <v>800</v>
      </c>
      <c r="J9">
        <f>AVERAGE(I2:I101)</f>
        <v>56525</v>
      </c>
      <c r="N9" t="s">
        <v>73</v>
      </c>
      <c r="O9">
        <f t="shared" si="0"/>
        <v>387000</v>
      </c>
    </row>
    <row r="10">
      <c r="A10" t="s">
        <v>74</v>
      </c>
      <c r="B10" t="s">
        <v>75</v>
      </c>
      <c r="C10" t="s">
        <v>57</v>
      </c>
      <c r="D10" t="s">
        <v>76</v>
      </c>
      <c r="E10" t="s">
        <v>23</v>
      </c>
      <c r="F10" t="s">
        <v>24</v>
      </c>
      <c r="G10">
        <v>6</v>
      </c>
      <c r="H10">
        <v>800</v>
      </c>
      <c r="I10">
        <f>G10*H10</f>
        <v>4800</v>
      </c>
      <c r="N10" t="s">
        <v>77</v>
      </c>
      <c r="O10">
        <f t="shared" si="0"/>
        <v>644000</v>
      </c>
    </row>
    <row r="11">
      <c r="A11" t="s">
        <v>78</v>
      </c>
      <c r="B11" t="s">
        <v>79</v>
      </c>
      <c r="C11" t="s">
        <v>57</v>
      </c>
      <c r="D11" t="s">
        <v>33</v>
      </c>
      <c r="E11" t="s">
        <v>23</v>
      </c>
      <c r="F11" t="s">
        <v>24</v>
      </c>
      <c r="G11">
        <v>6</v>
      </c>
      <c r="H11">
        <v>800</v>
      </c>
      <c r="I11">
        <f>G11*H11</f>
        <v>4800</v>
      </c>
      <c r="N11" t="s">
        <v>80</v>
      </c>
      <c r="O11">
        <f t="shared" si="0"/>
        <v>105000</v>
      </c>
    </row>
    <row r="12">
      <c r="A12" t="s">
        <v>81</v>
      </c>
      <c r="B12" t="s">
        <v>82</v>
      </c>
      <c r="C12" t="s">
        <v>32</v>
      </c>
      <c r="D12" t="s">
        <v>76</v>
      </c>
      <c r="E12" t="s">
        <v>23</v>
      </c>
      <c r="F12" t="s">
        <v>24</v>
      </c>
      <c r="G12">
        <v>5</v>
      </c>
      <c r="H12">
        <v>800</v>
      </c>
      <c r="I12">
        <f>G12*H12</f>
        <v>4000</v>
      </c>
    </row>
    <row r="13">
      <c r="A13" t="s">
        <v>83</v>
      </c>
      <c r="B13" t="s">
        <v>84</v>
      </c>
      <c r="C13" t="s">
        <v>57</v>
      </c>
      <c r="D13" t="s">
        <v>50</v>
      </c>
      <c r="E13" t="s">
        <v>23</v>
      </c>
      <c r="F13" t="s">
        <v>24</v>
      </c>
      <c r="G13">
        <v>7</v>
      </c>
      <c r="H13">
        <v>800</v>
      </c>
      <c r="I13">
        <f>G13*H13</f>
        <v>5600</v>
      </c>
    </row>
    <row r="14">
      <c r="A14" t="s">
        <v>85</v>
      </c>
      <c r="B14" t="s">
        <v>86</v>
      </c>
      <c r="C14" t="s">
        <v>32</v>
      </c>
      <c r="D14" t="s">
        <v>33</v>
      </c>
      <c r="E14" t="s">
        <v>87</v>
      </c>
      <c r="F14" t="s">
        <v>24</v>
      </c>
      <c r="G14">
        <v>2</v>
      </c>
      <c r="H14">
        <v>1500</v>
      </c>
      <c r="I14">
        <f>G14*H14</f>
        <v>3000</v>
      </c>
    </row>
    <row r="15">
      <c r="A15" t="s">
        <v>88</v>
      </c>
      <c r="B15" t="s">
        <v>89</v>
      </c>
      <c r="C15" t="s">
        <v>41</v>
      </c>
      <c r="D15" t="s">
        <v>76</v>
      </c>
      <c r="E15" t="s">
        <v>87</v>
      </c>
      <c r="F15" t="s">
        <v>24</v>
      </c>
      <c r="G15">
        <v>4</v>
      </c>
      <c r="H15">
        <v>1500</v>
      </c>
      <c r="I15">
        <f>G15*H15</f>
        <v>6000</v>
      </c>
    </row>
    <row r="16">
      <c r="A16" t="s">
        <v>90</v>
      </c>
      <c r="B16" t="s">
        <v>91</v>
      </c>
      <c r="C16" t="s">
        <v>57</v>
      </c>
      <c r="D16" t="s">
        <v>50</v>
      </c>
      <c r="E16" t="s">
        <v>87</v>
      </c>
      <c r="F16" t="s">
        <v>24</v>
      </c>
      <c r="G16">
        <v>5</v>
      </c>
      <c r="H16">
        <v>1500</v>
      </c>
      <c r="I16">
        <f>G16*H16</f>
        <v>7500</v>
      </c>
    </row>
    <row r="17">
      <c r="A17" t="s">
        <v>92</v>
      </c>
      <c r="B17" t="s">
        <v>93</v>
      </c>
      <c r="C17" t="s">
        <v>57</v>
      </c>
      <c r="D17" t="s">
        <v>33</v>
      </c>
      <c r="E17" t="s">
        <v>87</v>
      </c>
      <c r="F17" t="s">
        <v>24</v>
      </c>
      <c r="G17">
        <v>8</v>
      </c>
      <c r="H17">
        <v>1500</v>
      </c>
      <c r="I17">
        <f>G17*H17</f>
        <v>12000</v>
      </c>
    </row>
    <row r="18">
      <c r="A18" t="s">
        <v>94</v>
      </c>
      <c r="B18" t="s">
        <v>89</v>
      </c>
      <c r="C18" t="s">
        <v>41</v>
      </c>
      <c r="D18" t="s">
        <v>33</v>
      </c>
      <c r="E18" t="s">
        <v>87</v>
      </c>
      <c r="F18" t="s">
        <v>24</v>
      </c>
      <c r="G18">
        <v>5</v>
      </c>
      <c r="H18">
        <v>1500</v>
      </c>
      <c r="I18">
        <f>G18*H18</f>
        <v>7500</v>
      </c>
    </row>
    <row r="19">
      <c r="A19" t="s">
        <v>95</v>
      </c>
      <c r="B19" t="s">
        <v>96</v>
      </c>
      <c r="C19" t="s">
        <v>21</v>
      </c>
      <c r="D19" t="s">
        <v>76</v>
      </c>
      <c r="E19" t="s">
        <v>87</v>
      </c>
      <c r="F19" t="s">
        <v>24</v>
      </c>
      <c r="G19">
        <v>1</v>
      </c>
      <c r="H19">
        <v>1500</v>
      </c>
      <c r="I19">
        <f>G19*H19</f>
        <v>1500</v>
      </c>
    </row>
    <row r="20">
      <c r="A20" t="s">
        <v>97</v>
      </c>
      <c r="B20" t="s">
        <v>98</v>
      </c>
      <c r="C20" t="s">
        <v>57</v>
      </c>
      <c r="D20" t="s">
        <v>50</v>
      </c>
      <c r="E20" t="s">
        <v>87</v>
      </c>
      <c r="F20" t="s">
        <v>24</v>
      </c>
      <c r="G20">
        <v>1</v>
      </c>
      <c r="H20">
        <v>1500</v>
      </c>
      <c r="I20">
        <f>G20*H20</f>
        <v>1500</v>
      </c>
    </row>
    <row r="21">
      <c r="A21" t="s">
        <v>99</v>
      </c>
      <c r="B21" t="s">
        <v>89</v>
      </c>
      <c r="C21" t="s">
        <v>21</v>
      </c>
      <c r="D21" t="s">
        <v>76</v>
      </c>
      <c r="E21" t="s">
        <v>87</v>
      </c>
      <c r="F21" t="s">
        <v>24</v>
      </c>
      <c r="G21">
        <v>4</v>
      </c>
      <c r="H21">
        <v>1500</v>
      </c>
      <c r="I21">
        <f>G21*H21</f>
        <v>6000</v>
      </c>
    </row>
    <row r="22">
      <c r="A22" t="s">
        <v>100</v>
      </c>
      <c r="B22" t="s">
        <v>101</v>
      </c>
      <c r="C22" t="s">
        <v>32</v>
      </c>
      <c r="D22" t="s">
        <v>33</v>
      </c>
      <c r="E22" t="s">
        <v>87</v>
      </c>
      <c r="F22" t="s">
        <v>24</v>
      </c>
      <c r="G22">
        <v>5</v>
      </c>
      <c r="H22">
        <v>1500</v>
      </c>
      <c r="I22">
        <f>G22*H22</f>
        <v>7500</v>
      </c>
    </row>
    <row r="23">
      <c r="A23" t="s">
        <v>102</v>
      </c>
      <c r="B23" t="s">
        <v>103</v>
      </c>
      <c r="C23" t="s">
        <v>41</v>
      </c>
      <c r="D23" t="s">
        <v>22</v>
      </c>
      <c r="E23" t="s">
        <v>87</v>
      </c>
      <c r="F23" t="s">
        <v>24</v>
      </c>
      <c r="G23">
        <v>4</v>
      </c>
      <c r="H23">
        <v>1500</v>
      </c>
      <c r="I23">
        <f>G23*H23</f>
        <v>6000</v>
      </c>
    </row>
    <row r="24">
      <c r="A24" t="s">
        <v>104</v>
      </c>
      <c r="B24" t="s">
        <v>105</v>
      </c>
      <c r="C24" t="s">
        <v>32</v>
      </c>
      <c r="D24" t="s">
        <v>42</v>
      </c>
      <c r="E24" t="s">
        <v>87</v>
      </c>
      <c r="F24" t="s">
        <v>24</v>
      </c>
      <c r="G24">
        <v>5</v>
      </c>
      <c r="H24">
        <v>1500</v>
      </c>
      <c r="I24">
        <f>G24*H24</f>
        <v>7500</v>
      </c>
    </row>
    <row r="25">
      <c r="A25" t="s">
        <v>106</v>
      </c>
      <c r="B25" t="s">
        <v>82</v>
      </c>
      <c r="C25" t="s">
        <v>41</v>
      </c>
      <c r="D25" t="s">
        <v>42</v>
      </c>
      <c r="E25" t="s">
        <v>107</v>
      </c>
      <c r="F25" t="s">
        <v>24</v>
      </c>
      <c r="G25">
        <v>1</v>
      </c>
      <c r="H25">
        <v>2500</v>
      </c>
      <c r="I25">
        <f>G25*H25</f>
        <v>2500</v>
      </c>
    </row>
    <row r="26">
      <c r="A26" t="s">
        <v>108</v>
      </c>
      <c r="B26" t="s">
        <v>109</v>
      </c>
      <c r="C26" t="s">
        <v>57</v>
      </c>
      <c r="D26" t="s">
        <v>50</v>
      </c>
      <c r="E26" t="s">
        <v>107</v>
      </c>
      <c r="F26" t="s">
        <v>24</v>
      </c>
      <c r="G26">
        <v>3</v>
      </c>
      <c r="H26">
        <v>2500</v>
      </c>
      <c r="I26">
        <f>G26*H26</f>
        <v>7500</v>
      </c>
    </row>
    <row r="27">
      <c r="A27" t="s">
        <v>110</v>
      </c>
      <c r="B27" t="s">
        <v>111</v>
      </c>
      <c r="C27" t="s">
        <v>57</v>
      </c>
      <c r="D27" t="s">
        <v>50</v>
      </c>
      <c r="E27" t="s">
        <v>107</v>
      </c>
      <c r="F27" t="s">
        <v>24</v>
      </c>
      <c r="G27">
        <v>4</v>
      </c>
      <c r="H27">
        <v>2500</v>
      </c>
      <c r="I27">
        <f>G27*H27</f>
        <v>10000</v>
      </c>
    </row>
    <row r="28">
      <c r="A28" t="s">
        <v>112</v>
      </c>
      <c r="B28" t="s">
        <v>113</v>
      </c>
      <c r="C28" t="s">
        <v>57</v>
      </c>
      <c r="D28" t="s">
        <v>22</v>
      </c>
      <c r="E28" t="s">
        <v>107</v>
      </c>
      <c r="F28" t="s">
        <v>24</v>
      </c>
      <c r="G28">
        <v>3</v>
      </c>
      <c r="H28">
        <v>2500</v>
      </c>
      <c r="I28">
        <f>G28*H28</f>
        <v>7500</v>
      </c>
    </row>
    <row r="29">
      <c r="A29" t="s">
        <v>114</v>
      </c>
      <c r="B29" t="s">
        <v>82</v>
      </c>
      <c r="C29" t="s">
        <v>41</v>
      </c>
      <c r="D29" t="s">
        <v>50</v>
      </c>
      <c r="E29" t="s">
        <v>107</v>
      </c>
      <c r="F29" t="s">
        <v>24</v>
      </c>
      <c r="G29">
        <v>7</v>
      </c>
      <c r="H29">
        <v>2500</v>
      </c>
      <c r="I29">
        <f t="shared" ref="I2:I101" si="3">G29*H29</f>
        <v>17500</v>
      </c>
    </row>
    <row r="30">
      <c r="A30" t="s">
        <v>115</v>
      </c>
      <c r="B30" t="s">
        <v>116</v>
      </c>
      <c r="C30" t="s">
        <v>32</v>
      </c>
      <c r="D30" t="s">
        <v>22</v>
      </c>
      <c r="E30" t="s">
        <v>107</v>
      </c>
      <c r="F30" t="s">
        <v>24</v>
      </c>
      <c r="G30">
        <v>3</v>
      </c>
      <c r="H30">
        <v>2500</v>
      </c>
      <c r="I30">
        <f t="shared" si="3"/>
        <v>7500</v>
      </c>
    </row>
    <row r="31">
      <c r="A31" t="s">
        <v>117</v>
      </c>
      <c r="B31" t="s">
        <v>118</v>
      </c>
      <c r="C31" t="s">
        <v>57</v>
      </c>
      <c r="D31" t="s">
        <v>69</v>
      </c>
      <c r="E31" t="s">
        <v>107</v>
      </c>
      <c r="F31" t="s">
        <v>24</v>
      </c>
      <c r="G31">
        <v>4</v>
      </c>
      <c r="H31">
        <v>2500</v>
      </c>
      <c r="I31">
        <f t="shared" si="3"/>
        <v>10000</v>
      </c>
    </row>
    <row r="32">
      <c r="A32" t="s">
        <v>119</v>
      </c>
      <c r="B32" t="s">
        <v>120</v>
      </c>
      <c r="C32" t="s">
        <v>41</v>
      </c>
      <c r="D32" t="s">
        <v>22</v>
      </c>
      <c r="E32" t="s">
        <v>107</v>
      </c>
      <c r="F32" t="s">
        <v>24</v>
      </c>
      <c r="G32">
        <v>8</v>
      </c>
      <c r="H32">
        <v>2500</v>
      </c>
      <c r="I32">
        <f>G32*H32</f>
        <v>20000</v>
      </c>
    </row>
    <row r="33">
      <c r="A33" t="s">
        <v>121</v>
      </c>
      <c r="B33" t="s">
        <v>122</v>
      </c>
      <c r="C33" t="s">
        <v>41</v>
      </c>
      <c r="D33" t="s">
        <v>22</v>
      </c>
      <c r="E33" t="s">
        <v>107</v>
      </c>
      <c r="F33" t="s">
        <v>24</v>
      </c>
      <c r="G33">
        <v>6</v>
      </c>
      <c r="H33">
        <v>2500</v>
      </c>
      <c r="I33">
        <f>G33*H33</f>
        <v>15000</v>
      </c>
    </row>
    <row r="34">
      <c r="A34" t="s">
        <v>123</v>
      </c>
      <c r="B34" t="s">
        <v>124</v>
      </c>
      <c r="C34" t="s">
        <v>57</v>
      </c>
      <c r="D34" t="s">
        <v>76</v>
      </c>
      <c r="E34" t="s">
        <v>107</v>
      </c>
      <c r="F34" t="s">
        <v>24</v>
      </c>
      <c r="G34">
        <v>4</v>
      </c>
      <c r="H34">
        <v>2500</v>
      </c>
      <c r="I34">
        <f>G34*H34</f>
        <v>10000</v>
      </c>
    </row>
    <row r="35">
      <c r="A35" t="s">
        <v>125</v>
      </c>
      <c r="B35" t="s">
        <v>126</v>
      </c>
      <c r="C35" t="s">
        <v>21</v>
      </c>
      <c r="D35" t="s">
        <v>50</v>
      </c>
      <c r="E35" t="s">
        <v>107</v>
      </c>
      <c r="F35" t="s">
        <v>24</v>
      </c>
      <c r="G35">
        <v>4</v>
      </c>
      <c r="H35">
        <v>2500</v>
      </c>
      <c r="I35">
        <f>G35*H35</f>
        <v>10000</v>
      </c>
    </row>
    <row r="36">
      <c r="A36" t="s">
        <v>127</v>
      </c>
      <c r="B36" t="s">
        <v>128</v>
      </c>
      <c r="C36" t="s">
        <v>41</v>
      </c>
      <c r="D36" t="s">
        <v>33</v>
      </c>
      <c r="E36" t="s">
        <v>129</v>
      </c>
      <c r="F36" t="s">
        <v>130</v>
      </c>
      <c r="G36">
        <v>5</v>
      </c>
      <c r="H36">
        <v>3500</v>
      </c>
      <c r="I36">
        <f>G36*H36</f>
        <v>17500</v>
      </c>
    </row>
    <row r="37">
      <c r="A37" t="s">
        <v>131</v>
      </c>
      <c r="B37" t="s">
        <v>132</v>
      </c>
      <c r="C37" t="s">
        <v>21</v>
      </c>
      <c r="D37" t="s">
        <v>22</v>
      </c>
      <c r="E37" t="s">
        <v>129</v>
      </c>
      <c r="F37" t="s">
        <v>130</v>
      </c>
      <c r="G37">
        <v>6</v>
      </c>
      <c r="H37">
        <v>3500</v>
      </c>
      <c r="I37">
        <f>G37*H37</f>
        <v>21000</v>
      </c>
    </row>
    <row r="38">
      <c r="A38" t="s">
        <v>133</v>
      </c>
      <c r="B38" t="s">
        <v>134</v>
      </c>
      <c r="C38" t="s">
        <v>41</v>
      </c>
      <c r="D38" t="s">
        <v>42</v>
      </c>
      <c r="E38" t="s">
        <v>129</v>
      </c>
      <c r="F38" t="s">
        <v>130</v>
      </c>
      <c r="G38">
        <v>7</v>
      </c>
      <c r="H38">
        <v>3500</v>
      </c>
      <c r="I38">
        <f>G38*H38</f>
        <v>24500</v>
      </c>
    </row>
    <row r="39">
      <c r="A39" t="s">
        <v>135</v>
      </c>
      <c r="B39" t="s">
        <v>136</v>
      </c>
      <c r="C39" t="s">
        <v>21</v>
      </c>
      <c r="D39" t="s">
        <v>50</v>
      </c>
      <c r="E39" t="s">
        <v>129</v>
      </c>
      <c r="F39" t="s">
        <v>130</v>
      </c>
      <c r="G39">
        <v>4</v>
      </c>
      <c r="H39">
        <v>3500</v>
      </c>
      <c r="I39">
        <f>G39*H39</f>
        <v>14000</v>
      </c>
    </row>
    <row r="40">
      <c r="A40" t="s">
        <v>137</v>
      </c>
      <c r="B40" t="s">
        <v>138</v>
      </c>
      <c r="C40" t="s">
        <v>41</v>
      </c>
      <c r="D40" t="s">
        <v>76</v>
      </c>
      <c r="E40" t="s">
        <v>129</v>
      </c>
      <c r="F40" t="s">
        <v>130</v>
      </c>
      <c r="G40">
        <v>8</v>
      </c>
      <c r="H40">
        <v>3500</v>
      </c>
      <c r="I40">
        <f>G40*H40</f>
        <v>28000</v>
      </c>
    </row>
    <row r="41">
      <c r="A41" t="s">
        <v>139</v>
      </c>
      <c r="B41" t="s">
        <v>89</v>
      </c>
      <c r="C41" t="s">
        <v>57</v>
      </c>
      <c r="D41" t="s">
        <v>42</v>
      </c>
      <c r="E41" t="s">
        <v>140</v>
      </c>
      <c r="F41" t="s">
        <v>141</v>
      </c>
      <c r="G41">
        <v>6</v>
      </c>
      <c r="H41">
        <v>9000</v>
      </c>
      <c r="I41">
        <f>G41*H41</f>
        <v>54000</v>
      </c>
    </row>
    <row r="42">
      <c r="A42" t="s">
        <v>142</v>
      </c>
      <c r="B42" t="s">
        <v>122</v>
      </c>
      <c r="C42" t="s">
        <v>41</v>
      </c>
      <c r="D42" t="s">
        <v>69</v>
      </c>
      <c r="E42" t="s">
        <v>140</v>
      </c>
      <c r="F42" t="s">
        <v>141</v>
      </c>
      <c r="G42">
        <v>7</v>
      </c>
      <c r="H42">
        <v>9000</v>
      </c>
      <c r="I42">
        <f>G42*H42</f>
        <v>63000</v>
      </c>
    </row>
    <row r="43">
      <c r="A43" t="s">
        <v>143</v>
      </c>
      <c r="B43" t="s">
        <v>144</v>
      </c>
      <c r="C43" t="s">
        <v>32</v>
      </c>
      <c r="D43" t="s">
        <v>22</v>
      </c>
      <c r="E43" t="s">
        <v>140</v>
      </c>
      <c r="F43" t="s">
        <v>141</v>
      </c>
      <c r="G43">
        <v>5</v>
      </c>
      <c r="H43">
        <v>9000</v>
      </c>
      <c r="I43">
        <f>G43*H43</f>
        <v>45000</v>
      </c>
    </row>
    <row r="44">
      <c r="A44" t="s">
        <v>145</v>
      </c>
      <c r="B44" t="s">
        <v>146</v>
      </c>
      <c r="C44" t="s">
        <v>21</v>
      </c>
      <c r="D44" t="s">
        <v>69</v>
      </c>
      <c r="E44" t="s">
        <v>140</v>
      </c>
      <c r="F44" t="s">
        <v>141</v>
      </c>
      <c r="G44">
        <v>2</v>
      </c>
      <c r="H44">
        <v>9000</v>
      </c>
      <c r="I44">
        <f>G44*H44</f>
        <v>18000</v>
      </c>
    </row>
    <row r="45">
      <c r="A45" t="s">
        <v>147</v>
      </c>
      <c r="B45" t="s">
        <v>148</v>
      </c>
      <c r="C45" t="s">
        <v>41</v>
      </c>
      <c r="D45" t="s">
        <v>69</v>
      </c>
      <c r="E45" t="s">
        <v>140</v>
      </c>
      <c r="F45" t="s">
        <v>141</v>
      </c>
      <c r="G45">
        <v>3</v>
      </c>
      <c r="H45">
        <v>9000</v>
      </c>
      <c r="I45">
        <f>G45*H45</f>
        <v>27000</v>
      </c>
    </row>
    <row r="46">
      <c r="A46" t="s">
        <v>149</v>
      </c>
      <c r="B46" t="s">
        <v>150</v>
      </c>
      <c r="C46" t="s">
        <v>21</v>
      </c>
      <c r="D46" t="s">
        <v>22</v>
      </c>
      <c r="E46" t="s">
        <v>140</v>
      </c>
      <c r="F46" t="s">
        <v>141</v>
      </c>
      <c r="G46">
        <v>4</v>
      </c>
      <c r="H46">
        <v>9000</v>
      </c>
      <c r="I46">
        <f>G46*H46</f>
        <v>36000</v>
      </c>
    </row>
    <row r="47">
      <c r="A47" t="s">
        <v>151</v>
      </c>
      <c r="B47" t="s">
        <v>152</v>
      </c>
      <c r="C47" t="s">
        <v>32</v>
      </c>
      <c r="D47" t="s">
        <v>22</v>
      </c>
      <c r="E47" t="s">
        <v>140</v>
      </c>
      <c r="F47" t="s">
        <v>141</v>
      </c>
      <c r="G47">
        <v>5</v>
      </c>
      <c r="H47">
        <v>9000</v>
      </c>
      <c r="I47">
        <f>G47*H47</f>
        <v>45000</v>
      </c>
    </row>
    <row r="48">
      <c r="A48" t="s">
        <v>153</v>
      </c>
      <c r="B48" t="s">
        <v>154</v>
      </c>
      <c r="C48" t="s">
        <v>21</v>
      </c>
      <c r="D48" t="s">
        <v>33</v>
      </c>
      <c r="E48" t="s">
        <v>140</v>
      </c>
      <c r="F48" t="s">
        <v>141</v>
      </c>
      <c r="G48">
        <v>8</v>
      </c>
      <c r="H48">
        <v>9000</v>
      </c>
      <c r="I48">
        <f>G48*H48</f>
        <v>72000</v>
      </c>
    </row>
    <row r="49">
      <c r="A49" t="s">
        <v>155</v>
      </c>
      <c r="B49" t="s">
        <v>156</v>
      </c>
      <c r="C49" t="s">
        <v>32</v>
      </c>
      <c r="D49" t="s">
        <v>42</v>
      </c>
      <c r="E49" t="s">
        <v>140</v>
      </c>
      <c r="F49" t="s">
        <v>141</v>
      </c>
      <c r="G49">
        <v>3</v>
      </c>
      <c r="H49">
        <v>9000</v>
      </c>
      <c r="I49">
        <f>G49*H49</f>
        <v>27000</v>
      </c>
    </row>
    <row r="50">
      <c r="A50" t="s">
        <v>157</v>
      </c>
      <c r="B50" t="s">
        <v>158</v>
      </c>
      <c r="C50" t="s">
        <v>32</v>
      </c>
      <c r="D50" t="s">
        <v>69</v>
      </c>
      <c r="E50" t="s">
        <v>159</v>
      </c>
      <c r="F50" t="s">
        <v>160</v>
      </c>
      <c r="G50">
        <v>1</v>
      </c>
      <c r="H50">
        <v>12000</v>
      </c>
      <c r="I50">
        <f>G50*H50</f>
        <v>12000</v>
      </c>
    </row>
    <row r="51">
      <c r="A51" t="s">
        <v>161</v>
      </c>
      <c r="B51" t="s">
        <v>162</v>
      </c>
      <c r="C51" t="s">
        <v>41</v>
      </c>
      <c r="D51" t="s">
        <v>33</v>
      </c>
      <c r="E51" t="s">
        <v>159</v>
      </c>
      <c r="F51" t="s">
        <v>160</v>
      </c>
      <c r="G51">
        <v>2</v>
      </c>
      <c r="H51">
        <v>12000</v>
      </c>
      <c r="I51">
        <f>G51*H51</f>
        <v>24000</v>
      </c>
    </row>
    <row r="52">
      <c r="A52" t="s">
        <v>163</v>
      </c>
      <c r="B52" t="s">
        <v>164</v>
      </c>
      <c r="C52" t="s">
        <v>32</v>
      </c>
      <c r="D52" t="s">
        <v>22</v>
      </c>
      <c r="E52" t="s">
        <v>159</v>
      </c>
      <c r="F52" t="s">
        <v>160</v>
      </c>
      <c r="G52">
        <v>7</v>
      </c>
      <c r="H52">
        <v>12000</v>
      </c>
      <c r="I52">
        <f>G52*H52</f>
        <v>84000</v>
      </c>
    </row>
    <row r="53">
      <c r="A53" t="s">
        <v>165</v>
      </c>
      <c r="B53" t="s">
        <v>166</v>
      </c>
      <c r="C53" t="s">
        <v>41</v>
      </c>
      <c r="D53" t="s">
        <v>69</v>
      </c>
      <c r="E53" t="s">
        <v>159</v>
      </c>
      <c r="F53" t="s">
        <v>160</v>
      </c>
      <c r="G53">
        <v>3</v>
      </c>
      <c r="H53">
        <v>12000</v>
      </c>
      <c r="I53">
        <f>G53*H53</f>
        <v>36000</v>
      </c>
    </row>
    <row r="54">
      <c r="A54" t="s">
        <v>167</v>
      </c>
      <c r="B54" t="s">
        <v>168</v>
      </c>
      <c r="C54" t="s">
        <v>21</v>
      </c>
      <c r="D54" t="s">
        <v>76</v>
      </c>
      <c r="E54" t="s">
        <v>159</v>
      </c>
      <c r="F54" t="s">
        <v>160</v>
      </c>
      <c r="G54">
        <v>8</v>
      </c>
      <c r="H54">
        <v>12000</v>
      </c>
      <c r="I54">
        <f>G54*H54</f>
        <v>96000</v>
      </c>
    </row>
    <row r="55">
      <c r="A55" t="s">
        <v>169</v>
      </c>
      <c r="B55" t="s">
        <v>128</v>
      </c>
      <c r="C55" t="s">
        <v>32</v>
      </c>
      <c r="D55" t="s">
        <v>42</v>
      </c>
      <c r="E55" t="s">
        <v>159</v>
      </c>
      <c r="F55" t="s">
        <v>160</v>
      </c>
      <c r="G55">
        <v>5</v>
      </c>
      <c r="H55">
        <v>12000</v>
      </c>
      <c r="I55">
        <f>G55*H55</f>
        <v>60000</v>
      </c>
    </row>
    <row r="56">
      <c r="A56" t="s">
        <v>170</v>
      </c>
      <c r="B56" t="s">
        <v>171</v>
      </c>
      <c r="C56" t="s">
        <v>32</v>
      </c>
      <c r="D56" t="s">
        <v>22</v>
      </c>
      <c r="E56" t="s">
        <v>159</v>
      </c>
      <c r="F56" t="s">
        <v>160</v>
      </c>
      <c r="G56">
        <v>1</v>
      </c>
      <c r="H56">
        <v>12000</v>
      </c>
      <c r="I56">
        <f>G56*H56</f>
        <v>12000</v>
      </c>
    </row>
    <row r="57">
      <c r="A57" t="s">
        <v>172</v>
      </c>
      <c r="B57" t="s">
        <v>40</v>
      </c>
      <c r="C57" t="s">
        <v>41</v>
      </c>
      <c r="D57" t="s">
        <v>33</v>
      </c>
      <c r="E57" t="s">
        <v>159</v>
      </c>
      <c r="F57" t="s">
        <v>160</v>
      </c>
      <c r="G57">
        <v>6</v>
      </c>
      <c r="H57">
        <v>12000</v>
      </c>
      <c r="I57">
        <f>G57*H57</f>
        <v>72000</v>
      </c>
    </row>
    <row r="58">
      <c r="A58" t="s">
        <v>173</v>
      </c>
      <c r="B58" t="s">
        <v>174</v>
      </c>
      <c r="C58" t="s">
        <v>57</v>
      </c>
      <c r="D58" t="s">
        <v>33</v>
      </c>
      <c r="E58" t="s">
        <v>159</v>
      </c>
      <c r="F58" t="s">
        <v>160</v>
      </c>
      <c r="G58">
        <v>2</v>
      </c>
      <c r="H58">
        <v>12000</v>
      </c>
      <c r="I58">
        <f>G58*H58</f>
        <v>24000</v>
      </c>
    </row>
    <row r="59">
      <c r="A59" t="s">
        <v>175</v>
      </c>
      <c r="B59" t="s">
        <v>105</v>
      </c>
      <c r="C59" t="s">
        <v>57</v>
      </c>
      <c r="D59" t="s">
        <v>33</v>
      </c>
      <c r="E59" t="s">
        <v>159</v>
      </c>
      <c r="F59" t="s">
        <v>160</v>
      </c>
      <c r="G59">
        <v>6</v>
      </c>
      <c r="H59">
        <v>12000</v>
      </c>
      <c r="I59">
        <f>G59*H59</f>
        <v>72000</v>
      </c>
    </row>
    <row r="60">
      <c r="A60" t="s">
        <v>176</v>
      </c>
      <c r="B60" t="s">
        <v>177</v>
      </c>
      <c r="C60" t="s">
        <v>41</v>
      </c>
      <c r="D60" t="s">
        <v>33</v>
      </c>
      <c r="E60" t="s">
        <v>178</v>
      </c>
      <c r="F60" t="s">
        <v>141</v>
      </c>
      <c r="G60">
        <v>7</v>
      </c>
      <c r="H60">
        <v>14000</v>
      </c>
      <c r="I60">
        <f>G60*H60</f>
        <v>98000</v>
      </c>
    </row>
    <row r="61">
      <c r="A61" t="s">
        <v>179</v>
      </c>
      <c r="B61" t="s">
        <v>180</v>
      </c>
      <c r="C61" t="s">
        <v>57</v>
      </c>
      <c r="D61" t="s">
        <v>76</v>
      </c>
      <c r="E61" t="s">
        <v>178</v>
      </c>
      <c r="F61" t="s">
        <v>141</v>
      </c>
      <c r="G61">
        <v>1</v>
      </c>
      <c r="H61">
        <v>14000</v>
      </c>
      <c r="I61">
        <f>G61*H61</f>
        <v>14000</v>
      </c>
    </row>
    <row r="62">
      <c r="A62" t="s">
        <v>181</v>
      </c>
      <c r="B62" t="s">
        <v>182</v>
      </c>
      <c r="C62" t="s">
        <v>41</v>
      </c>
      <c r="D62" t="s">
        <v>22</v>
      </c>
      <c r="E62" t="s">
        <v>178</v>
      </c>
      <c r="F62" t="s">
        <v>141</v>
      </c>
      <c r="G62">
        <v>4</v>
      </c>
      <c r="H62">
        <v>14000</v>
      </c>
      <c r="I62">
        <f>G62*H62</f>
        <v>56000</v>
      </c>
    </row>
    <row r="63">
      <c r="A63" t="s">
        <v>183</v>
      </c>
      <c r="B63" t="s">
        <v>184</v>
      </c>
      <c r="C63" t="s">
        <v>21</v>
      </c>
      <c r="D63" t="s">
        <v>69</v>
      </c>
      <c r="E63" t="s">
        <v>178</v>
      </c>
      <c r="F63" t="s">
        <v>141</v>
      </c>
      <c r="G63">
        <v>1</v>
      </c>
      <c r="H63">
        <v>14000</v>
      </c>
      <c r="I63">
        <f>G63*H63</f>
        <v>14000</v>
      </c>
    </row>
    <row r="64">
      <c r="A64" t="s">
        <v>185</v>
      </c>
      <c r="B64" t="s">
        <v>118</v>
      </c>
      <c r="C64" t="s">
        <v>21</v>
      </c>
      <c r="D64" t="s">
        <v>42</v>
      </c>
      <c r="E64" t="s">
        <v>178</v>
      </c>
      <c r="F64" t="s">
        <v>141</v>
      </c>
      <c r="G64">
        <v>8</v>
      </c>
      <c r="H64">
        <v>14000</v>
      </c>
      <c r="I64">
        <f>G64*H64</f>
        <v>112000</v>
      </c>
    </row>
    <row r="65">
      <c r="A65" t="s">
        <v>186</v>
      </c>
      <c r="B65" t="s">
        <v>187</v>
      </c>
      <c r="C65" t="s">
        <v>32</v>
      </c>
      <c r="D65" t="s">
        <v>69</v>
      </c>
      <c r="E65" t="s">
        <v>178</v>
      </c>
      <c r="F65" t="s">
        <v>141</v>
      </c>
      <c r="G65">
        <v>3</v>
      </c>
      <c r="H65">
        <v>14000</v>
      </c>
      <c r="I65">
        <f>G65*H65</f>
        <v>42000</v>
      </c>
    </row>
    <row r="66">
      <c r="A66" t="s">
        <v>188</v>
      </c>
      <c r="B66" t="s">
        <v>116</v>
      </c>
      <c r="C66" t="s">
        <v>57</v>
      </c>
      <c r="D66" t="s">
        <v>69</v>
      </c>
      <c r="E66" t="s">
        <v>178</v>
      </c>
      <c r="F66" t="s">
        <v>141</v>
      </c>
      <c r="G66">
        <v>4</v>
      </c>
      <c r="H66">
        <v>14000</v>
      </c>
      <c r="I66">
        <f>G66*H66</f>
        <v>56000</v>
      </c>
    </row>
    <row r="67">
      <c r="A67" t="s">
        <v>189</v>
      </c>
      <c r="B67" t="s">
        <v>174</v>
      </c>
      <c r="C67" t="s">
        <v>57</v>
      </c>
      <c r="D67" t="s">
        <v>22</v>
      </c>
      <c r="E67" t="s">
        <v>178</v>
      </c>
      <c r="F67" t="s">
        <v>141</v>
      </c>
      <c r="G67">
        <v>1</v>
      </c>
      <c r="H67">
        <v>14000</v>
      </c>
      <c r="I67">
        <f>G67*H67</f>
        <v>14000</v>
      </c>
    </row>
    <row r="68">
      <c r="A68" t="s">
        <v>190</v>
      </c>
      <c r="B68" t="s">
        <v>191</v>
      </c>
      <c r="C68" t="s">
        <v>57</v>
      </c>
      <c r="D68" t="s">
        <v>33</v>
      </c>
      <c r="E68" t="s">
        <v>178</v>
      </c>
      <c r="F68" t="s">
        <v>141</v>
      </c>
      <c r="G68">
        <v>3</v>
      </c>
      <c r="H68">
        <v>14000</v>
      </c>
      <c r="I68">
        <f>G68*H68</f>
        <v>42000</v>
      </c>
    </row>
    <row r="69">
      <c r="A69" t="s">
        <v>192</v>
      </c>
      <c r="B69" t="s">
        <v>158</v>
      </c>
      <c r="C69" t="s">
        <v>32</v>
      </c>
      <c r="D69" t="s">
        <v>42</v>
      </c>
      <c r="E69" t="s">
        <v>178</v>
      </c>
      <c r="F69" t="s">
        <v>141</v>
      </c>
      <c r="G69">
        <v>6</v>
      </c>
      <c r="H69">
        <v>14000</v>
      </c>
      <c r="I69">
        <f>G69*H69</f>
        <v>84000</v>
      </c>
    </row>
    <row r="70">
      <c r="A70" t="s">
        <v>193</v>
      </c>
      <c r="B70" t="s">
        <v>162</v>
      </c>
      <c r="C70" t="s">
        <v>21</v>
      </c>
      <c r="D70" t="s">
        <v>42</v>
      </c>
      <c r="E70" t="s">
        <v>178</v>
      </c>
      <c r="F70" t="s">
        <v>141</v>
      </c>
      <c r="G70">
        <v>2</v>
      </c>
      <c r="H70">
        <v>14000</v>
      </c>
      <c r="I70">
        <f>G70*H70</f>
        <v>28000</v>
      </c>
    </row>
    <row r="71">
      <c r="A71" t="s">
        <v>194</v>
      </c>
      <c r="B71" t="s">
        <v>184</v>
      </c>
      <c r="C71" t="s">
        <v>21</v>
      </c>
      <c r="D71" t="s">
        <v>22</v>
      </c>
      <c r="E71" t="s">
        <v>178</v>
      </c>
      <c r="F71" t="s">
        <v>141</v>
      </c>
      <c r="G71">
        <v>6</v>
      </c>
      <c r="H71">
        <v>14000</v>
      </c>
      <c r="I71">
        <f>G71*H71</f>
        <v>84000</v>
      </c>
    </row>
    <row r="72">
      <c r="A72" t="s">
        <v>195</v>
      </c>
      <c r="B72" t="s">
        <v>196</v>
      </c>
      <c r="C72" t="s">
        <v>21</v>
      </c>
      <c r="D72" t="s">
        <v>69</v>
      </c>
      <c r="E72" t="s">
        <v>197</v>
      </c>
      <c r="F72" t="s">
        <v>130</v>
      </c>
      <c r="G72">
        <v>1</v>
      </c>
      <c r="H72">
        <v>18000</v>
      </c>
      <c r="I72">
        <f>G72*H72</f>
        <v>18000</v>
      </c>
    </row>
    <row r="73">
      <c r="A73" t="s">
        <v>198</v>
      </c>
      <c r="B73" t="s">
        <v>63</v>
      </c>
      <c r="C73" t="s">
        <v>57</v>
      </c>
      <c r="D73" t="s">
        <v>42</v>
      </c>
      <c r="E73" t="s">
        <v>197</v>
      </c>
      <c r="F73" t="s">
        <v>130</v>
      </c>
      <c r="G73">
        <v>7</v>
      </c>
      <c r="H73">
        <v>18000</v>
      </c>
      <c r="I73">
        <f>G73*H73</f>
        <v>126000</v>
      </c>
    </row>
    <row r="74">
      <c r="A74" t="s">
        <v>199</v>
      </c>
      <c r="B74" t="s">
        <v>200</v>
      </c>
      <c r="C74" t="s">
        <v>57</v>
      </c>
      <c r="D74" t="s">
        <v>22</v>
      </c>
      <c r="E74" t="s">
        <v>197</v>
      </c>
      <c r="F74" t="s">
        <v>130</v>
      </c>
      <c r="G74">
        <v>7</v>
      </c>
      <c r="H74">
        <v>18000</v>
      </c>
      <c r="I74">
        <f>G74*H74</f>
        <v>126000</v>
      </c>
    </row>
    <row r="75">
      <c r="A75" t="s">
        <v>201</v>
      </c>
      <c r="B75" t="s">
        <v>202</v>
      </c>
      <c r="C75" t="s">
        <v>21</v>
      </c>
      <c r="D75" t="s">
        <v>42</v>
      </c>
      <c r="E75" t="s">
        <v>197</v>
      </c>
      <c r="F75" t="s">
        <v>130</v>
      </c>
      <c r="G75">
        <v>1</v>
      </c>
      <c r="H75">
        <v>18000</v>
      </c>
      <c r="I75">
        <f>G75*H75</f>
        <v>18000</v>
      </c>
    </row>
    <row r="76">
      <c r="A76" t="s">
        <v>203</v>
      </c>
      <c r="B76" t="s">
        <v>204</v>
      </c>
      <c r="C76" t="s">
        <v>41</v>
      </c>
      <c r="D76" t="s">
        <v>42</v>
      </c>
      <c r="E76" t="s">
        <v>197</v>
      </c>
      <c r="F76" t="s">
        <v>130</v>
      </c>
      <c r="G76">
        <v>4</v>
      </c>
      <c r="H76">
        <v>18000</v>
      </c>
      <c r="I76">
        <f>G76*H76</f>
        <v>72000</v>
      </c>
    </row>
    <row r="77">
      <c r="A77" t="s">
        <v>205</v>
      </c>
      <c r="B77" t="s">
        <v>206</v>
      </c>
      <c r="C77" t="s">
        <v>57</v>
      </c>
      <c r="D77" t="s">
        <v>69</v>
      </c>
      <c r="E77" t="s">
        <v>197</v>
      </c>
      <c r="F77" t="s">
        <v>130</v>
      </c>
      <c r="G77">
        <v>4</v>
      </c>
      <c r="H77">
        <v>18000</v>
      </c>
      <c r="I77">
        <f>G77*H77</f>
        <v>72000</v>
      </c>
    </row>
    <row r="78">
      <c r="A78" t="s">
        <v>207</v>
      </c>
      <c r="B78" t="s">
        <v>122</v>
      </c>
      <c r="C78" t="s">
        <v>57</v>
      </c>
      <c r="D78" t="s">
        <v>50</v>
      </c>
      <c r="E78" t="s">
        <v>197</v>
      </c>
      <c r="F78" t="s">
        <v>130</v>
      </c>
      <c r="G78">
        <v>5</v>
      </c>
      <c r="H78">
        <v>18000</v>
      </c>
      <c r="I78">
        <f>G78*H78</f>
        <v>90000</v>
      </c>
    </row>
    <row r="79">
      <c r="A79" t="s">
        <v>208</v>
      </c>
      <c r="B79" t="s">
        <v>209</v>
      </c>
      <c r="C79" t="s">
        <v>32</v>
      </c>
      <c r="D79" t="s">
        <v>50</v>
      </c>
      <c r="E79" t="s">
        <v>197</v>
      </c>
      <c r="F79" t="s">
        <v>130</v>
      </c>
      <c r="G79">
        <v>1</v>
      </c>
      <c r="H79">
        <v>18000</v>
      </c>
      <c r="I79">
        <f>G79*H79</f>
        <v>18000</v>
      </c>
    </row>
    <row r="80">
      <c r="A80" t="s">
        <v>210</v>
      </c>
      <c r="B80" t="s">
        <v>105</v>
      </c>
      <c r="C80" t="s">
        <v>57</v>
      </c>
      <c r="D80" t="s">
        <v>50</v>
      </c>
      <c r="E80" t="s">
        <v>197</v>
      </c>
      <c r="F80" t="s">
        <v>130</v>
      </c>
      <c r="G80">
        <v>1</v>
      </c>
      <c r="H80">
        <v>18000</v>
      </c>
      <c r="I80">
        <f>G80*H80</f>
        <v>18000</v>
      </c>
    </row>
    <row r="81">
      <c r="A81" t="s">
        <v>211</v>
      </c>
      <c r="B81" t="s">
        <v>212</v>
      </c>
      <c r="C81" t="s">
        <v>32</v>
      </c>
      <c r="D81" t="s">
        <v>50</v>
      </c>
      <c r="E81" t="s">
        <v>197</v>
      </c>
      <c r="F81" t="s">
        <v>130</v>
      </c>
      <c r="G81">
        <v>8</v>
      </c>
      <c r="H81">
        <v>18000</v>
      </c>
      <c r="I81">
        <f>G81*H81</f>
        <v>144000</v>
      </c>
    </row>
    <row r="82">
      <c r="A82" t="s">
        <v>213</v>
      </c>
      <c r="B82" t="s">
        <v>154</v>
      </c>
      <c r="C82" t="s">
        <v>21</v>
      </c>
      <c r="D82" t="s">
        <v>76</v>
      </c>
      <c r="E82" t="s">
        <v>197</v>
      </c>
      <c r="F82" t="s">
        <v>130</v>
      </c>
      <c r="G82">
        <v>2</v>
      </c>
      <c r="H82">
        <v>18000</v>
      </c>
      <c r="I82">
        <f>G82*H82</f>
        <v>36000</v>
      </c>
    </row>
    <row r="83">
      <c r="A83" t="s">
        <v>214</v>
      </c>
      <c r="B83" t="s">
        <v>72</v>
      </c>
      <c r="C83" t="s">
        <v>32</v>
      </c>
      <c r="D83" t="s">
        <v>33</v>
      </c>
      <c r="E83" t="s">
        <v>197</v>
      </c>
      <c r="F83" t="s">
        <v>130</v>
      </c>
      <c r="G83">
        <v>4</v>
      </c>
      <c r="H83">
        <v>18000</v>
      </c>
      <c r="I83">
        <f>G83*H83</f>
        <v>72000</v>
      </c>
    </row>
    <row r="84">
      <c r="A84" t="s">
        <v>215</v>
      </c>
      <c r="B84" t="s">
        <v>156</v>
      </c>
      <c r="C84" t="s">
        <v>57</v>
      </c>
      <c r="D84" t="s">
        <v>42</v>
      </c>
      <c r="E84" t="s">
        <v>197</v>
      </c>
      <c r="F84" t="s">
        <v>130</v>
      </c>
      <c r="G84">
        <v>7</v>
      </c>
      <c r="H84">
        <v>18000</v>
      </c>
      <c r="I84">
        <f>G84*H84</f>
        <v>126000</v>
      </c>
    </row>
    <row r="85">
      <c r="A85" t="s">
        <v>216</v>
      </c>
      <c r="B85" t="s">
        <v>148</v>
      </c>
      <c r="C85" t="s">
        <v>32</v>
      </c>
      <c r="D85" t="s">
        <v>50</v>
      </c>
      <c r="E85" t="s">
        <v>197</v>
      </c>
      <c r="F85" t="s">
        <v>130</v>
      </c>
      <c r="G85">
        <v>3</v>
      </c>
      <c r="H85">
        <v>18000</v>
      </c>
      <c r="I85">
        <f>G85*H85</f>
        <v>54000</v>
      </c>
    </row>
    <row r="86">
      <c r="A86" t="s">
        <v>217</v>
      </c>
      <c r="B86" t="s">
        <v>20</v>
      </c>
      <c r="C86" t="s">
        <v>41</v>
      </c>
      <c r="D86" t="s">
        <v>33</v>
      </c>
      <c r="E86" t="s">
        <v>197</v>
      </c>
      <c r="F86" t="s">
        <v>130</v>
      </c>
      <c r="G86">
        <v>6</v>
      </c>
      <c r="H86">
        <v>18000</v>
      </c>
      <c r="I86">
        <f>G86*H86</f>
        <v>108000</v>
      </c>
    </row>
    <row r="87">
      <c r="A87" t="s">
        <v>218</v>
      </c>
      <c r="B87" t="s">
        <v>219</v>
      </c>
      <c r="C87" t="s">
        <v>41</v>
      </c>
      <c r="D87" t="s">
        <v>50</v>
      </c>
      <c r="E87" t="s">
        <v>220</v>
      </c>
      <c r="F87" t="s">
        <v>130</v>
      </c>
      <c r="G87">
        <v>8</v>
      </c>
      <c r="H87">
        <v>28000</v>
      </c>
      <c r="I87">
        <f>G87*H87</f>
        <v>224000</v>
      </c>
    </row>
    <row r="88">
      <c r="A88" t="s">
        <v>221</v>
      </c>
      <c r="B88" t="s">
        <v>222</v>
      </c>
      <c r="C88" t="s">
        <v>21</v>
      </c>
      <c r="D88" t="s">
        <v>42</v>
      </c>
      <c r="E88" t="s">
        <v>220</v>
      </c>
      <c r="F88" t="s">
        <v>130</v>
      </c>
      <c r="G88">
        <v>2</v>
      </c>
      <c r="H88">
        <v>28000</v>
      </c>
      <c r="I88">
        <f>G88*H88</f>
        <v>56000</v>
      </c>
    </row>
    <row r="89">
      <c r="A89" t="s">
        <v>223</v>
      </c>
      <c r="B89" t="s">
        <v>224</v>
      </c>
      <c r="C89" t="s">
        <v>41</v>
      </c>
      <c r="D89" t="s">
        <v>33</v>
      </c>
      <c r="E89" t="s">
        <v>220</v>
      </c>
      <c r="F89" t="s">
        <v>130</v>
      </c>
      <c r="G89">
        <v>1</v>
      </c>
      <c r="H89">
        <v>28000</v>
      </c>
      <c r="I89">
        <f>G89*H89</f>
        <v>28000</v>
      </c>
    </row>
    <row r="90">
      <c r="A90" t="s">
        <v>225</v>
      </c>
      <c r="B90" t="s">
        <v>138</v>
      </c>
      <c r="C90" t="s">
        <v>57</v>
      </c>
      <c r="D90" t="s">
        <v>42</v>
      </c>
      <c r="E90" t="s">
        <v>220</v>
      </c>
      <c r="F90" t="s">
        <v>130</v>
      </c>
      <c r="G90">
        <v>2</v>
      </c>
      <c r="H90">
        <v>28000</v>
      </c>
      <c r="I90">
        <f>G90*H90</f>
        <v>56000</v>
      </c>
    </row>
    <row r="91">
      <c r="A91" t="s">
        <v>226</v>
      </c>
      <c r="B91" t="s">
        <v>227</v>
      </c>
      <c r="C91" t="s">
        <v>21</v>
      </c>
      <c r="D91" t="s">
        <v>22</v>
      </c>
      <c r="E91" t="s">
        <v>220</v>
      </c>
      <c r="F91" t="s">
        <v>130</v>
      </c>
      <c r="G91">
        <v>4</v>
      </c>
      <c r="H91">
        <v>28000</v>
      </c>
      <c r="I91">
        <f>G91*H91</f>
        <v>112000</v>
      </c>
    </row>
    <row r="92">
      <c r="A92" t="s">
        <v>228</v>
      </c>
      <c r="B92" t="s">
        <v>209</v>
      </c>
      <c r="C92" t="s">
        <v>21</v>
      </c>
      <c r="D92" t="s">
        <v>50</v>
      </c>
      <c r="E92" t="s">
        <v>220</v>
      </c>
      <c r="F92" t="s">
        <v>130</v>
      </c>
      <c r="G92">
        <v>5</v>
      </c>
      <c r="H92">
        <v>28000</v>
      </c>
      <c r="I92">
        <f>G92*H92</f>
        <v>140000</v>
      </c>
    </row>
    <row r="93">
      <c r="A93" t="s">
        <v>229</v>
      </c>
      <c r="B93" t="s">
        <v>230</v>
      </c>
      <c r="C93" t="s">
        <v>57</v>
      </c>
      <c r="D93" t="s">
        <v>22</v>
      </c>
      <c r="E93" t="s">
        <v>220</v>
      </c>
      <c r="F93" t="s">
        <v>130</v>
      </c>
      <c r="G93">
        <v>2</v>
      </c>
      <c r="H93">
        <v>28000</v>
      </c>
      <c r="I93">
        <f t="shared" si="3"/>
        <v>56000</v>
      </c>
    </row>
    <row r="94">
      <c r="A94" t="s">
        <v>231</v>
      </c>
      <c r="B94" t="s">
        <v>118</v>
      </c>
      <c r="C94" t="s">
        <v>21</v>
      </c>
      <c r="D94" t="s">
        <v>22</v>
      </c>
      <c r="E94" t="s">
        <v>232</v>
      </c>
      <c r="F94" t="s">
        <v>130</v>
      </c>
      <c r="G94">
        <v>2</v>
      </c>
      <c r="H94">
        <v>55000</v>
      </c>
      <c r="I94">
        <f>G94*H94</f>
        <v>110000</v>
      </c>
    </row>
    <row r="95">
      <c r="A95" t="s">
        <v>233</v>
      </c>
      <c r="B95" t="s">
        <v>234</v>
      </c>
      <c r="C95" t="s">
        <v>57</v>
      </c>
      <c r="D95" t="s">
        <v>69</v>
      </c>
      <c r="E95" t="s">
        <v>232</v>
      </c>
      <c r="F95" t="s">
        <v>130</v>
      </c>
      <c r="G95">
        <v>2</v>
      </c>
      <c r="H95">
        <v>55000</v>
      </c>
      <c r="I95">
        <f>G95*H95</f>
        <v>110000</v>
      </c>
    </row>
    <row r="96">
      <c r="A96" t="s">
        <v>235</v>
      </c>
      <c r="B96" t="s">
        <v>206</v>
      </c>
      <c r="C96" t="s">
        <v>32</v>
      </c>
      <c r="D96" t="s">
        <v>50</v>
      </c>
      <c r="E96" t="s">
        <v>232</v>
      </c>
      <c r="F96" t="s">
        <v>130</v>
      </c>
      <c r="G96">
        <v>4</v>
      </c>
      <c r="H96">
        <v>55000</v>
      </c>
      <c r="I96">
        <f>G96*H96</f>
        <v>220000</v>
      </c>
    </row>
    <row r="97">
      <c r="A97" t="s">
        <v>236</v>
      </c>
      <c r="B97" t="s">
        <v>237</v>
      </c>
      <c r="C97" t="s">
        <v>32</v>
      </c>
      <c r="D97" t="s">
        <v>76</v>
      </c>
      <c r="E97" t="s">
        <v>232</v>
      </c>
      <c r="F97" t="s">
        <v>130</v>
      </c>
      <c r="G97">
        <v>3</v>
      </c>
      <c r="H97">
        <v>55000</v>
      </c>
      <c r="I97">
        <f>G97*H97</f>
        <v>165000</v>
      </c>
    </row>
    <row r="98">
      <c r="A98" t="s">
        <v>238</v>
      </c>
      <c r="B98" t="s">
        <v>239</v>
      </c>
      <c r="C98" t="s">
        <v>32</v>
      </c>
      <c r="D98" t="s">
        <v>50</v>
      </c>
      <c r="E98" t="s">
        <v>232</v>
      </c>
      <c r="F98" t="s">
        <v>130</v>
      </c>
      <c r="G98">
        <v>8</v>
      </c>
      <c r="H98">
        <v>55000</v>
      </c>
      <c r="I98">
        <f>G98*H98</f>
        <v>440000</v>
      </c>
    </row>
    <row r="99">
      <c r="A99" t="s">
        <v>240</v>
      </c>
      <c r="B99" t="s">
        <v>241</v>
      </c>
      <c r="C99" t="s">
        <v>41</v>
      </c>
      <c r="D99" t="s">
        <v>22</v>
      </c>
      <c r="E99" t="s">
        <v>232</v>
      </c>
      <c r="F99" t="s">
        <v>130</v>
      </c>
      <c r="G99">
        <v>3</v>
      </c>
      <c r="H99">
        <v>55000</v>
      </c>
      <c r="I99">
        <f>G99*H99</f>
        <v>165000</v>
      </c>
    </row>
    <row r="100">
      <c r="A100" t="s">
        <v>242</v>
      </c>
      <c r="B100" t="s">
        <v>177</v>
      </c>
      <c r="C100" t="s">
        <v>21</v>
      </c>
      <c r="D100" t="s">
        <v>76</v>
      </c>
      <c r="E100" t="s">
        <v>232</v>
      </c>
      <c r="F100" t="s">
        <v>130</v>
      </c>
      <c r="G100">
        <v>8</v>
      </c>
      <c r="H100">
        <v>55000</v>
      </c>
      <c r="I100">
        <f>G100*H100</f>
        <v>440000</v>
      </c>
    </row>
    <row r="101">
      <c r="A101" t="s">
        <v>243</v>
      </c>
      <c r="B101" t="s">
        <v>244</v>
      </c>
      <c r="C101" t="s">
        <v>21</v>
      </c>
      <c r="D101" t="s">
        <v>42</v>
      </c>
      <c r="E101" t="s">
        <v>232</v>
      </c>
      <c r="F101" t="s">
        <v>130</v>
      </c>
      <c r="G101">
        <v>7</v>
      </c>
      <c r="H101">
        <v>55000</v>
      </c>
      <c r="I101">
        <f>G101*H101</f>
        <v>385000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sheetData>
    <row r="1">
      <c r="A1" s="1" t="s">
        <v>245</v>
      </c>
    </row>
    <row r="2">
      <c r="A2" t="s">
        <v>246</v>
      </c>
    </row>
    <row r="3">
      <c r="A3" t="s">
        <v>247</v>
      </c>
    </row>
    <row r="4">
      <c r="A4" t="s">
        <v>248</v>
      </c>
    </row>
    <row r="5">
      <c r="A5" t="s">
        <v>249</v>
      </c>
    </row>
    <row r="6">
      <c r="A6" t="s">
        <v>250</v>
      </c>
    </row>
    <row r="7">
      <c r="A7" t="s">
        <v>251</v>
      </c>
    </row>
    <row r="8">
      <c r="A8" t="s">
        <v>252</v>
      </c>
    </row>
    <row r="9">
      <c r="A9" t="s">
        <v>253</v>
      </c>
    </row>
  </sheetData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tabSelected="1" zoomScale="55" zoomScaleNormal="55" workbookViewId="0">
      <selection activeCell="Y45" sqref="Y45"/>
    </sheetView>
  </sheetViews>
  <sheetFormatPr defaultRowHeight="14.4"/>
  <cols>
    <col min="1" max="1" width="21.21875" customWidth="1"/>
    <col min="2" max="2" width="20.21875" customWidth="1"/>
    <col min="3" max="3" width="21.77734" customWidth="1"/>
    <col min="4" max="4" width="27.21875" customWidth="1"/>
    <col min="5" max="5" width="15.10938" customWidth="1"/>
    <col min="15" max="15" width="11.66406" customWidth="1"/>
  </cols>
  <sheetData>
    <row r="1" ht="31.2">
      <c r="B1" s="2" t="s">
        <v>254</v>
      </c>
      <c r="E1" s="2"/>
    </row>
    <row r="2" ht="21">
      <c r="A2" s="3" t="s">
        <v>255</v>
      </c>
      <c r="B2" s="3" t="s">
        <v>256</v>
      </c>
      <c r="C2" s="3" t="s">
        <v>257</v>
      </c>
      <c r="D2" s="3" t="s">
        <v>258</v>
      </c>
    </row>
    <row r="3" ht="21">
      <c r="A3" s="3">
        <v>100</v>
      </c>
      <c r="B3" s="3">
        <v>418</v>
      </c>
      <c r="C3" s="4">
        <v>5652500</v>
      </c>
      <c r="D3" s="4">
        <v>56525</v>
      </c>
    </row>
  </sheetData>
  <drawing r:id="rId1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KHUSHI SAINI</cp:lastModifiedBy>
  <dcterms:created xsi:type="dcterms:W3CDTF">2026-09-16T12:06:33Z</dcterms:created>
  <dcterms:modified xsi:type="dcterms:W3CDTF">2026-09-17T18:46:41Z</dcterms:modified>
</cp:coreProperties>
</file>